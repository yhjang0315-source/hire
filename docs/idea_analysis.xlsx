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1_현황문제" sheetId="2" state="visible" r:id="rId2"/>
    <sheet name="2_기존서비스" sheetId="3" state="visible" r:id="rId3"/>
    <sheet name="3_아이디어상세" sheetId="4" state="visible" r:id="rId4"/>
    <sheet name="4_평가점수" sheetId="5" state="visible" r:id="rId5"/>
    <sheet name="5_출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맑은 고딕"/>
      <b val="1"/>
      <color rgb="001F3A68"/>
      <sz val="14"/>
    </font>
    <font>
      <name val="맑은 고딕"/>
      <i val="1"/>
      <color rgb="00595959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0000FF"/>
    </font>
    <font>
      <name val="맑은 고딕"/>
      <b val="1"/>
    </font>
    <font>
      <name val="맑은 고딕"/>
      <color rgb="000000FF"/>
    </font>
    <font>
      <name val="맑은 고딕"/>
      <b val="1"/>
      <sz val="10"/>
    </font>
    <font>
      <name val="맑은 고딕"/>
      <color rgb="000000FF"/>
      <sz val="10"/>
    </font>
    <font>
      <name val="맑은 고딕"/>
      <b val="1"/>
      <color rgb="00404040"/>
      <sz val="9"/>
    </font>
    <font>
      <name val="맑은 고딕"/>
      <color rgb="00404040"/>
      <sz val="9"/>
    </font>
    <font>
      <name val="맑은 고딕"/>
      <b val="1"/>
      <color rgb="001F3A68"/>
      <sz val="12"/>
    </font>
    <font>
      <name val="맑은 고딕"/>
    </font>
  </fonts>
  <fills count="6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F2DCDB"/>
      </patternFill>
    </fill>
    <fill>
      <patternFill patternType="solid">
        <fgColor rgb="00FFFF00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2" fillId="0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2" fontId="1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9" fontId="5" fillId="4" borderId="1" applyAlignment="1" pivotButton="0" quotePrefix="0" xfId="0">
      <alignment horizontal="center" vertical="center" wrapText="1"/>
    </xf>
    <xf numFmtId="9" fontId="6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2" fontId="8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12" customWidth="1" min="4" max="4"/>
    <col width="70" customWidth="1" min="5" max="5"/>
  </cols>
  <sheetData>
    <row r="1">
      <c r="A1" s="1" t="inlineStr">
        <is>
          <t>2026 고용24 국민참여 AI 고용서비스 발굴 해커톤 · 아이디어 분석 요약</t>
        </is>
      </c>
    </row>
    <row r="2">
      <c r="A2" s="2" t="inlineStr">
        <is>
          <t>개인 참가 기준 · 조사일 2026-09-29 · 순위는 '4_평가점수' 시트의 점수·가중치를 바꾸면 자동 갱신됨</t>
        </is>
      </c>
    </row>
    <row r="4">
      <c r="B4" s="3" t="inlineStr">
        <is>
          <t>① 공모전 핵심</t>
        </is>
      </c>
    </row>
    <row r="5">
      <c r="B5" s="4" t="inlineStr">
        <is>
          <t>접수 마감</t>
        </is>
      </c>
      <c r="C5" s="5" t="inlineStr">
        <is>
          <t>2026.10.13(화) — 1차 기획안 PDF 10쪽 이내(구글폼)</t>
        </is>
      </c>
    </row>
    <row r="6">
      <c r="B6" s="4" t="inlineStr">
        <is>
          <t>진행</t>
        </is>
      </c>
      <c r="C6" s="5" t="inlineStr">
        <is>
          <t>10월 1차 심사(20팀) → 10~11월 온라인 MVP 개발(2주) → 11월 2차 기능심사 → 11~12월 본선·시상</t>
        </is>
      </c>
    </row>
    <row r="7">
      <c r="B7" s="4" t="inlineStr">
        <is>
          <t>요구 사항</t>
        </is>
      </c>
      <c r="C7" s="5" t="inlineStr">
        <is>
          <t>AI를 접목한 고용24 서비스 MVP / 고용24 OpenAPI·EIS·ELDS·공공데이터포털 선택 활용</t>
        </is>
      </c>
    </row>
    <row r="8">
      <c r="B8" s="4" t="inlineStr">
        <is>
          <t>시상</t>
        </is>
      </c>
      <c r="C8" s="5" t="inlineStr">
        <is>
          <t>총 10점 1,000만원(온누리상품권): 대상 300 · 최우수 200 · 우수 150×2 · 장려 50×2 · 참가상 25×4</t>
        </is>
      </c>
    </row>
    <row r="10">
      <c r="B10" s="3" t="inlineStr">
        <is>
          <t>② 핵심 발견</t>
        </is>
      </c>
    </row>
    <row r="11">
      <c r="B11" s="6" t="inlineStr">
        <is>
          <t>고용24는 2026.6.30 AI 서비스 3종(취업확률 구직컨설팅 · 채용확률 구인컨설팅/AI 인재추천 · AI 구인공고 검증)을 이미 출시(8월 정식).</t>
        </is>
      </c>
    </row>
    <row r="12">
      <c r="B12" s="6" t="inlineStr">
        <is>
          <t>→ '역량 갭→훈련 추천', '구인공고 작성 도우미'는 기존 서비스와 사실상 같아 제외 권장.</t>
        </is>
      </c>
    </row>
    <row r="13">
      <c r="B13" s="6" t="inlineStr">
        <is>
          <t>2026.8.20 고용센터 개편(실업인정 AI 자동화, '나만의 AI 고용센터')으로 제도 안내·추천형 챗봇도 겹칠 위험이 큼.</t>
        </is>
      </c>
    </row>
    <row r="14">
      <c r="B14" s="6" t="inlineStr">
        <is>
          <t>빈틈: ① 구직자가 직접 쓰는 공고·계약서 검증(거짓 구인광고 신고 매년 증가, 2026 상반기 323건)  ② 공식 기록에 없는 경력의 역량화.</t>
        </is>
      </c>
    </row>
    <row r="16">
      <c r="B16" s="3" t="inlineStr">
        <is>
          <t>③ 현재 점수 기준 TOP 3 (자동 계산)</t>
        </is>
      </c>
    </row>
    <row r="17">
      <c r="B17" s="7" t="inlineStr">
        <is>
          <t>순위</t>
        </is>
      </c>
      <c r="C17" s="7" t="inlineStr">
        <is>
          <t>아이디어</t>
        </is>
      </c>
      <c r="D17" s="7" t="inlineStr">
        <is>
          <t>가중 총점</t>
        </is>
      </c>
      <c r="E17" s="7" t="inlineStr">
        <is>
          <t>판정</t>
        </is>
      </c>
    </row>
    <row r="18">
      <c r="B18" s="8" t="n">
        <v>1</v>
      </c>
      <c r="C18" s="9">
        <f>INDEX('4_평가점수'!$B$6:$B$12,MATCH(1,'4_평가점수'!$J$6:$J$12,0))</f>
        <v/>
      </c>
      <c r="D18" s="10">
        <f>INDEX('4_평가점수'!$I$6:$I$12,MATCH(1,'4_평가점수'!$J$6:$J$12,0))</f>
        <v/>
      </c>
      <c r="E18" s="8">
        <f>INDEX('4_평가점수'!$K$6:$K$12,MATCH(1,'4_평가점수'!$J$6:$J$12,0))</f>
        <v/>
      </c>
    </row>
    <row r="19">
      <c r="B19" s="8" t="n">
        <v>2</v>
      </c>
      <c r="C19" s="9">
        <f>INDEX('4_평가점수'!$B$6:$B$12,MATCH(2,'4_평가점수'!$J$6:$J$12,0))</f>
        <v/>
      </c>
      <c r="D19" s="10">
        <f>INDEX('4_평가점수'!$I$6:$I$12,MATCH(2,'4_평가점수'!$J$6:$J$12,0))</f>
        <v/>
      </c>
      <c r="E19" s="8">
        <f>INDEX('4_평가점수'!$K$6:$K$12,MATCH(2,'4_평가점수'!$J$6:$J$12,0))</f>
        <v/>
      </c>
    </row>
    <row r="20">
      <c r="B20" s="8" t="n">
        <v>3</v>
      </c>
      <c r="C20" s="9">
        <f>INDEX('4_평가점수'!$B$6:$B$12,MATCH(3,'4_평가점수'!$J$6:$J$12,0))</f>
        <v/>
      </c>
      <c r="D20" s="10">
        <f>INDEX('4_평가점수'!$I$6:$I$12,MATCH(3,'4_평가점수'!$J$6:$J$12,0))</f>
        <v/>
      </c>
      <c r="E20" s="8">
        <f>INDEX('4_평가점수'!$K$6:$K$12,MATCH(3,'4_평가점수'!$J$6:$J$12,0))</f>
        <v/>
      </c>
    </row>
    <row r="22">
      <c r="B22" s="3" t="inlineStr">
        <is>
          <t>④ 분석 의견</t>
        </is>
      </c>
    </row>
    <row r="23" ht="32" customHeight="1">
      <c r="B23" s="11" t="inlineStr">
        <is>
          <t>1순위 '공고·계약 조건 비교 체커': 정부의 거짓 구인광고 대응 강화(직업안정법 개정 2026.12.10 시행)와 맞물리고, 기존 행정용 검증을 '구직자 측'으로 넓히는 보완재라 연계 논리가 좋음. 개인 2주 구현도 현실적.</t>
        </is>
      </c>
    </row>
    <row r="24" ht="32" customHeight="1">
      <c r="B24" s="11" t="inlineStr">
        <is>
          <t>2순위 '경력 번역기': 생성형 AI가 꼭 필요한 이유가 가장 뚜렷하고 발표 스토리가 강함. 기존 고용24 AI 앞단에 붙는 구조로 설명 가능.</t>
        </is>
      </c>
    </row>
    <row r="25" ht="32" customHeight="1">
      <c r="B25" s="11" t="inlineStr">
        <is>
          <t>1·2번 결합안도 가능: 다만 개인 2주 MVP 범위를 넘기 쉬우므로 기획안에서는 하나를 주 기능으로 두고 다른 하나는 확장 계획으로 서술 권장.</t>
        </is>
      </c>
    </row>
    <row r="26" ht="32" customHeight="1">
      <c r="B26" s="11" t="inlineStr">
        <is>
          <t>주의: 가중치는 추정값. 공모전 홈페이지의 공식 심사 기준을 확인한 뒤 '4_평가점수' 노란 칸을 수정하면 순위가 자동 갱신됨.</t>
        </is>
      </c>
    </row>
  </sheetData>
  <mergeCells count="12">
    <mergeCell ref="B23:E23"/>
    <mergeCell ref="B26:E26"/>
    <mergeCell ref="C5:E5"/>
    <mergeCell ref="B12:E12"/>
    <mergeCell ref="B13:E13"/>
    <mergeCell ref="C8:E8"/>
    <mergeCell ref="B11:E11"/>
    <mergeCell ref="B25:E25"/>
    <mergeCell ref="B24:E24"/>
    <mergeCell ref="C7:E7"/>
    <mergeCell ref="B14:E14"/>
    <mergeCell ref="C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8" customWidth="1" min="3" max="3"/>
    <col width="50" customWidth="1" min="4" max="4"/>
    <col width="18" customWidth="1" min="5" max="5"/>
    <col width="34" customWidth="1" min="6" max="6"/>
    <col width="42" customWidth="1" min="7" max="7"/>
    <col width="10" customWidth="1" min="8" max="8"/>
  </cols>
  <sheetData>
    <row r="1">
      <c r="A1" s="1" t="inlineStr">
        <is>
          <t>1. 고용24·고용서비스 현황과 개선 필요점</t>
        </is>
      </c>
    </row>
    <row r="2">
      <c r="A2" s="2" t="inlineStr">
        <is>
          <t>[사실] = 기사·공식자료 근거 / [분석] = 조사 결과를 바탕으로 한 추론. 출처는 '5_출처' 시트 참고. 조사 기준일 2026-09-29</t>
        </is>
      </c>
    </row>
    <row r="4">
      <c r="A4" s="7" t="inlineStr">
        <is>
          <t>ID</t>
        </is>
      </c>
      <c r="B4" s="7" t="inlineStr">
        <is>
          <t>영역</t>
        </is>
      </c>
      <c r="C4" s="7" t="inlineStr">
        <is>
          <t>현재 문제·개선 필요점</t>
        </is>
      </c>
      <c r="D4" s="7" t="inlineStr">
        <is>
          <t>근거(수치·사실)</t>
        </is>
      </c>
      <c r="E4" s="7" t="inlineStr">
        <is>
          <t>영향 대상</t>
        </is>
      </c>
      <c r="F4" s="7" t="inlineStr">
        <is>
          <t>현재 대응(기존 서비스)</t>
        </is>
      </c>
      <c r="G4" s="7" t="inlineStr">
        <is>
          <t>남은 빈틈 = 아이디어 기회</t>
        </is>
      </c>
      <c r="H4" s="7" t="inlineStr">
        <is>
          <t>관련 아이디어</t>
        </is>
      </c>
    </row>
    <row r="5">
      <c r="A5" s="12" t="inlineStr">
        <is>
          <t>P1</t>
        </is>
      </c>
      <c r="B5" s="12" t="inlineStr">
        <is>
          <t>사용성</t>
        </is>
      </c>
      <c r="C5" s="12" t="inlineStr">
        <is>
          <t>워크넷·HRD-Net·고용보험 통합으로 메뉴가 방대하고 오류가 잦아, 원하는 서비스를 찾아가기 어려움</t>
        </is>
      </c>
      <c r="D5" s="12" t="inlineStr">
        <is>
          <t>[사실] 2024.10 정식 출범 후 열흘간 민원 762건, 앱 별점 iOS 1.3 / Android 1.7(2024.10.4 기준). "워크넷이 더 편했다" 등 불만. 현재 수치는 미확인</t>
        </is>
      </c>
      <c r="E5" s="12" t="inlineStr">
        <is>
          <t>전 이용자</t>
        </is>
      </c>
      <c r="F5" s="12" t="inlineStr">
        <is>
          <t>지속 개선 중, 2026.8 '나만의 AI 고용센터' 개편 발표</t>
        </is>
      </c>
      <c r="G5" s="12" t="inlineStr">
        <is>
          <t>메뉴를 몰라도 목적을 말하면 해당 기능으로 연결해 주는 방식</t>
        </is>
      </c>
      <c r="H5" s="12" t="inlineStr">
        <is>
          <t>3, 5</t>
        </is>
      </c>
    </row>
    <row r="6">
      <c r="A6" s="12" t="inlineStr">
        <is>
          <t>P2</t>
        </is>
      </c>
      <c r="B6" s="12" t="inlineStr">
        <is>
          <t>제도 복잡성</t>
        </is>
      </c>
      <c r="C6" s="12" t="inlineStr">
        <is>
          <t>실업급여·국민취업지원제도·내일배움카드·육아휴직급여 등 제도가 많고 자격·서류가 복잡해 몰라서 못 받거나 신청 중 막힘</t>
        </is>
      </c>
      <c r="D6" s="12" t="inlineStr">
        <is>
          <t>[사실] 육아휴직급여 신청 오류·실업급여 구직신청 문자 깨짐 등 기능 장애 민원(2024.10). [분석] 조회 서비스는 있으나 신청 완료까지 돕는 기능은 약함</t>
        </is>
      </c>
      <c r="E6" s="12" t="inlineStr">
        <is>
          <t>실직자, 구직 청년, 육아휴직자</t>
        </is>
      </c>
      <c r="F6" s="12" t="inlineStr">
        <is>
          <t>정부24 혜택알리미·보조금24(조회), 1350 챗봇(실업급여 Q&amp;A)</t>
        </is>
      </c>
      <c r="G6" s="12" t="inlineStr">
        <is>
          <t>개인 상황별 '신청 완료까지' 동행, 반려 사유 사전 점검</t>
        </is>
      </c>
      <c r="H6" s="12" t="inlineStr">
        <is>
          <t>3</t>
        </is>
      </c>
    </row>
    <row r="7">
      <c r="A7" s="12" t="inlineStr">
        <is>
          <t>P3</t>
        </is>
      </c>
      <c r="B7" s="12" t="inlineStr">
        <is>
          <t>상담 부족</t>
        </is>
      </c>
      <c r="C7" s="12" t="inlineStr">
        <is>
          <t>고용센터 상담이 서류 확인 위주라 실제 취업 상담 시간이 짧음</t>
        </is>
      </c>
      <c r="D7" s="12" t="inlineStr">
        <is>
          <t>[사실] 기존 취업 상담 20분 미만. 대전고용센터 시범에서 1인당 상담 18분 → 73.8분. 2026.8.20 전국 102개 센터 개편 발표(실업인정·지원금 심사 AI 자동화)</t>
        </is>
      </c>
      <c r="E7" s="12" t="inlineStr">
        <is>
          <t>구직자, 고용센터 직원</t>
        </is>
      </c>
      <c r="F7" s="12" t="inlineStr">
        <is>
          <t>국가 고용서비스 혁신방안(정부 직접 추진)</t>
        </is>
      </c>
      <c r="G7" s="12" t="inlineStr">
        <is>
          <t>[분석] 정부가 직접 개편 중인 영역이라 공모 아이디어로는 겹침 위험 큼</t>
        </is>
      </c>
      <c r="H7" s="12" t="inlineStr">
        <is>
          <t>3</t>
        </is>
      </c>
    </row>
    <row r="8">
      <c r="A8" s="12" t="inlineStr">
        <is>
          <t>P4</t>
        </is>
      </c>
      <c r="B8" s="12" t="inlineStr">
        <is>
          <t>거짓·부적정 구인광고</t>
        </is>
      </c>
      <c r="C8" s="12" t="inlineStr">
        <is>
          <t>공고와 실제 근로조건이 다른 거짓 구인광고가 매년 증가. 구직자가 스스로 확인할 도구 없음</t>
        </is>
      </c>
      <c r="D8" s="12" t="inlineStr">
        <is>
          <t>[사실] 신고 334건(2022) → 365(2023) → 404(2024) → 416(2025), 2026 상반기만 323건. 수사의뢰 2026 상반기 25건(2025 전체 29건의 86%). 개정 직업안정법 2026.12.10 시행 예정</t>
        </is>
      </c>
      <c r="E8" s="12" t="inlineStr">
        <is>
          <t>청년·아르바이트·고령·첫 취업 구직자</t>
        </is>
      </c>
      <c r="F8" s="12" t="inlineStr">
        <is>
          <t>고용24 'AI 구인공고 검증'(행정직원용, 등록 공고의 차별·최저임금 미달 점검), 노동부 민간포털 통합 모니터링·AI 점검 모델 개발 계획</t>
        </is>
      </c>
      <c r="G8" s="12" t="inlineStr">
        <is>
          <t>[분석] 기존 검증은 '행정직원이 등록 시점에' 점검. '구직자가 계약 시점에' 공고와 근로계약서를 교차 확인하는 도구는 없음. 민간 포털 공고도 사각지대</t>
        </is>
      </c>
      <c r="H8" s="12" t="inlineStr">
        <is>
          <t>1</t>
        </is>
      </c>
    </row>
    <row r="9">
      <c r="A9" s="12" t="inlineStr">
        <is>
          <t>P5</t>
        </is>
      </c>
      <c r="B9" s="12" t="inlineStr">
        <is>
          <t>비정형 경력 표현 격차</t>
        </is>
      </c>
      <c r="C9" s="12" t="inlineStr">
        <is>
          <t>자영업·가사·돌봄·군 복무 등 공식 기록에 없는 경력을 직무 역량 언어로 표현하지 못해, 이력서·AI 분석 입력 자체가 약함</t>
        </is>
      </c>
      <c r="D9" s="12" t="inlineStr">
        <is>
          <t>[사실] 통합경력증명서는 흩어진 고용보험 경력을 모아 줌. [분석] 고용보험 미가입 경력은 누락되며, AI 취업확률 분석도 입력된 이력에 의존</t>
        </is>
      </c>
      <c r="E9" s="12" t="inlineStr">
        <is>
          <t>중장년, 경력단절여성, 폐업 자영업자, 전역 군인</t>
        </is>
      </c>
      <c r="F9" s="12" t="inlineStr">
        <is>
          <t>고용24 잡케어, 중장년내일센터 전직지원, 사람인 AI 서류합격 코칭(경력직 중심)</t>
        </is>
      </c>
      <c r="G9" s="12" t="inlineStr">
        <is>
          <t>비공식 경력을 표준 직무 역량으로 '번역'해 기존 AI 서비스의 입력 품질을 높이는 앞단 도구</t>
        </is>
      </c>
      <c r="H9" s="12" t="inlineStr">
        <is>
          <t>2</t>
        </is>
      </c>
    </row>
    <row r="10">
      <c r="A10" s="12" t="inlineStr">
        <is>
          <t>P6</t>
        </is>
      </c>
      <c r="B10" s="12" t="inlineStr">
        <is>
          <t>통계 활용 어려움</t>
        </is>
      </c>
      <c r="C10" s="12" t="inlineStr">
        <is>
          <t>고용행정통계(EIS)는 풍부하지만 표·필터 중심이라 일반 국민이 개인 의사결정에 쓰기 어려움</t>
        </is>
      </c>
      <c r="D10" s="12" t="inlineStr">
        <is>
          <t>[사실] EIS는 구인·구직을 사업장 규모·학력·임금·채용형태별로 월 단위 제공(OpenAPI 포함). [분석] 전문가용 화면</t>
        </is>
      </c>
      <c r="E10" s="12" t="inlineStr">
        <is>
          <t>구직자, 진로 고민 청년, 소상공인</t>
        </is>
      </c>
      <c r="F10" s="12" t="inlineStr">
        <is>
          <t>EIS 웹사이트·OpenAPI, 잡케어 취업시장 정보</t>
        </is>
      </c>
      <c r="G10" s="12" t="inlineStr">
        <is>
          <t>자연어 질문 → 통계 조회 → 쉬운말 해설</t>
        </is>
      </c>
      <c r="H10" s="12" t="inlineStr">
        <is>
          <t>4</t>
        </is>
      </c>
    </row>
    <row r="11">
      <c r="A11" s="13" t="inlineStr">
        <is>
          <t>P7</t>
        </is>
      </c>
      <c r="B11" s="13" t="inlineStr">
        <is>
          <t>디지털 약자 접근성</t>
        </is>
      </c>
      <c r="C11" s="13" t="inlineStr">
        <is>
          <t>고령자·저문해자·장애인·외국인에게 메뉴·텍스트 중심 UI는 진입장벽</t>
        </is>
      </c>
      <c r="D11" s="13" t="inlineStr">
        <is>
          <t>[사실] 앱 평점·오류 민원(P1). [분석] 고령 구직자 비중 증가 추세와 맞물려 접근성 수요 증가</t>
        </is>
      </c>
      <c r="E11" s="13" t="inlineStr">
        <is>
          <t>고령자, 시각장애인, 외국인</t>
        </is>
      </c>
      <c r="F11" s="13" t="inlineStr">
        <is>
          <t>1350 전화상담·챗봇, 고용센터 방문</t>
        </is>
      </c>
      <c r="G11" s="13" t="inlineStr">
        <is>
          <t>음성·쉬운말 대화형 인터페이스</t>
        </is>
      </c>
      <c r="H11" s="13" t="inlineStr">
        <is>
          <t>5</t>
        </is>
      </c>
    </row>
    <row r="12">
      <c r="A12" s="13" t="inlineStr">
        <is>
          <t>P8</t>
        </is>
      </c>
      <c r="B12" s="13" t="inlineStr">
        <is>
          <t>역량 부족 구직자의 훈련 연결</t>
        </is>
      </c>
      <c r="C12" s="13" t="inlineStr">
        <is>
          <t>부족 역량을 모른 채 구직하다 장기 실업으로 이어짐</t>
        </is>
      </c>
      <c r="D12" s="13" t="inlineStr">
        <is>
          <t>[사실] 2026.6.30 고용24 '취업확률 기반 구직컨설팅' 출시: 2개월 내 취업확률, 필요한 훈련·자격증·자소서 보완 제시, AI 훈련·일자리 추천 연계</t>
        </is>
      </c>
      <c r="E12" s="13" t="inlineStr">
        <is>
          <t>구직자</t>
        </is>
      </c>
      <c r="F12" s="13" t="inlineStr">
        <is>
          <t>고용24 취업확률 기반 구직컨설팅(8월 정식)</t>
        </is>
      </c>
      <c r="G12" s="13" t="inlineStr">
        <is>
          <t>[분석] 기존 서비스로 대부분 해소 → 새 아이디어로는 차별성 낮음</t>
        </is>
      </c>
      <c r="H12" s="13" t="inlineStr">
        <is>
          <t>6</t>
        </is>
      </c>
    </row>
    <row r="13">
      <c r="A13" s="12" t="inlineStr">
        <is>
          <t>P9</t>
        </is>
      </c>
      <c r="B13" s="12" t="inlineStr">
        <is>
          <t>소상공인 채용 어려움</t>
        </is>
      </c>
      <c r="C13" s="12" t="inlineStr">
        <is>
          <t>소상공인은 공고 작성·적정 임금 설정이 어려워 채용 실패 반복</t>
        </is>
      </c>
      <c r="D13" s="12" t="inlineStr">
        <is>
          <t>[사실] 2026.6.30 '채용확률 기반 구인컨설팅'(임금·근로형태 조정안), AI 구인공고 작성 지원, AI 인재추천 고도화(8개 항목 적합도·추천 이유) 출시</t>
        </is>
      </c>
      <c r="E13" s="12" t="inlineStr">
        <is>
          <t>소상공인, 구인기업</t>
        </is>
      </c>
      <c r="F13" s="12" t="inlineStr">
        <is>
          <t>고용24 구인컨설팅·AI 인재추천</t>
        </is>
      </c>
      <c r="G13" s="12" t="inlineStr">
        <is>
          <t>[분석] 기존 서비스로 대부분 해소 → 새 아이디어로는 차별성 낮음</t>
        </is>
      </c>
      <c r="H13" s="12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34" customWidth="1" min="3" max="3"/>
    <col width="18" customWidth="1" min="4" max="4"/>
    <col width="16" customWidth="1" min="5" max="5"/>
    <col width="50" customWidth="1" min="6" max="6"/>
    <col width="18" customWidth="1" min="7" max="7"/>
    <col width="44" customWidth="1" min="8" max="8"/>
    <col width="12" customWidth="1" min="9" max="9"/>
  </cols>
  <sheetData>
    <row r="1">
      <c r="A1" s="1" t="inlineStr">
        <is>
          <t>2. 현재 나와 있는 관련 시스템</t>
        </is>
      </c>
    </row>
    <row r="2">
      <c r="A2" s="2" t="inlineStr">
        <is>
          <t>'한계(분석)'는 공개 자료 기준 추론이며 실제 기능과 다를 수 있음. 제출 전 고용24에서 직접 사용해 확인 권장</t>
        </is>
      </c>
    </row>
    <row r="4">
      <c r="A4" s="7" t="inlineStr">
        <is>
          <t>No</t>
        </is>
      </c>
      <c r="B4" s="7" t="inlineStr">
        <is>
          <t>구분</t>
        </is>
      </c>
      <c r="C4" s="7" t="inlineStr">
        <is>
          <t>서비스명</t>
        </is>
      </c>
      <c r="D4" s="7" t="inlineStr">
        <is>
          <t>운영</t>
        </is>
      </c>
      <c r="E4" s="7" t="inlineStr">
        <is>
          <t>대상</t>
        </is>
      </c>
      <c r="F4" s="7" t="inlineStr">
        <is>
          <t>주요 기능</t>
        </is>
      </c>
      <c r="G4" s="7" t="inlineStr">
        <is>
          <t>시점</t>
        </is>
      </c>
      <c r="H4" s="7" t="inlineStr">
        <is>
          <t>한계(분석)</t>
        </is>
      </c>
      <c r="I4" s="7" t="inlineStr">
        <is>
          <t>겹치는 아이디어</t>
        </is>
      </c>
    </row>
    <row r="5">
      <c r="A5" s="12" t="n">
        <v>1</v>
      </c>
      <c r="B5" s="12" t="inlineStr">
        <is>
          <t>공공</t>
        </is>
      </c>
      <c r="C5" s="12" t="inlineStr">
        <is>
          <t>고용24 취업확률 기반 구직컨설팅 (+AI 직업훈련·일자리 추천)</t>
        </is>
      </c>
      <c r="D5" s="12" t="inlineStr">
        <is>
          <t>고용노동부·고용정보원</t>
        </is>
      </c>
      <c r="E5" s="12" t="inlineStr">
        <is>
          <t>구직자</t>
        </is>
      </c>
      <c r="F5" s="12" t="inlineStr">
        <is>
          <t>희망 직종 2개월 내 취업확률 분석, 필요한 훈련·자격증·자소서·이력서 보완 사항 제시, 훈련·일자리 추천 연계</t>
        </is>
      </c>
      <c r="G5" s="12" t="inlineStr">
        <is>
          <t>2026.6.30 시범 → 8월 정식</t>
        </is>
      </c>
      <c r="H5" s="12" t="inlineStr">
        <is>
          <t>등록된 이력·경력이 입력 → 비공식 경력은 분석에 반영되기 어려움</t>
        </is>
      </c>
      <c r="I5" s="12" t="inlineStr">
        <is>
          <t>2, 6</t>
        </is>
      </c>
    </row>
    <row r="6">
      <c r="A6" s="12" t="n">
        <v>2</v>
      </c>
      <c r="B6" s="12" t="inlineStr">
        <is>
          <t>공공</t>
        </is>
      </c>
      <c r="C6" s="12" t="inlineStr">
        <is>
          <t>고용24 채용확률 기반 구인컨설팅 / AI 구인공고 작성 / AI 인재추천</t>
        </is>
      </c>
      <c r="D6" s="12" t="inlineStr">
        <is>
          <t>고용노동부·고용정보원</t>
        </is>
      </c>
      <c r="E6" s="12" t="inlineStr">
        <is>
          <t>구인기업</t>
        </is>
      </c>
      <c r="F6" s="12" t="inlineStr">
        <is>
          <t>임금·근로형태 등 채용조건 조정안, 공고 작성 지원, 직무·경력·임금·자격 등 8개 항목 적합도와 추천 이유·이력 요약</t>
        </is>
      </c>
      <c r="G6" s="12" t="inlineStr">
        <is>
          <t>2026.6.30 시범 → 8월 정식</t>
        </is>
      </c>
      <c r="H6" s="12" t="inlineStr">
        <is>
          <t>구인기업 측 AI 지원은 이미 폭넓게 제공</t>
        </is>
      </c>
      <c r="I6" s="12" t="inlineStr">
        <is>
          <t>7</t>
        </is>
      </c>
    </row>
    <row r="7">
      <c r="A7" s="12" t="n">
        <v>3</v>
      </c>
      <c r="B7" s="12" t="inlineStr">
        <is>
          <t>공공</t>
        </is>
      </c>
      <c r="C7" s="12" t="inlineStr">
        <is>
          <t>고용24 AI 구인공고 검증</t>
        </is>
      </c>
      <c r="D7" s="12" t="inlineStr">
        <is>
          <t>고용노동부·고용정보원</t>
        </is>
      </c>
      <c r="E7" s="12" t="inlineStr">
        <is>
          <t>고용센터 행정직원</t>
        </is>
      </c>
      <c r="F7" s="12" t="inlineStr">
        <is>
          <t>고용24 등록 공고의 성별·연령 차별, 최저임금 미달 등 법 위반 가능성 사전 점검</t>
        </is>
      </c>
      <c r="G7" s="12" t="inlineStr">
        <is>
          <t>2026.6.30 시범 → 8월 정식</t>
        </is>
      </c>
      <c r="H7" s="12" t="inlineStr">
        <is>
          <t>행정직원용이며 고용24 등록 공고만 대상. 구직자가 직접 쓰는 기능 없음. 실제 근로계약서와의 비교 없음</t>
        </is>
      </c>
      <c r="I7" s="12" t="inlineStr">
        <is>
          <t>1</t>
        </is>
      </c>
    </row>
    <row r="8">
      <c r="A8" s="12" t="n">
        <v>4</v>
      </c>
      <c r="B8" s="12" t="inlineStr">
        <is>
          <t>공공</t>
        </is>
      </c>
      <c r="C8" s="12" t="inlineStr">
        <is>
          <t>고용24 잡케어</t>
        </is>
      </c>
      <c r="D8" s="12" t="inlineStr">
        <is>
          <t>고용정보원</t>
        </is>
      </c>
      <c r="E8" s="12" t="inlineStr">
        <is>
          <t>전 연령 구직자</t>
        </is>
      </c>
      <c r="F8" s="12" t="inlineStr">
        <is>
          <t>AI·빅데이터 기반 경력개발 로드맵, 취업시장 정보, 추천 정보</t>
        </is>
      </c>
      <c r="G8" s="12" t="inlineStr">
        <is>
          <t>운영 중</t>
        </is>
      </c>
      <c r="H8" s="12" t="inlineStr">
        <is>
          <t>기존 경력·학력 데이터 중심</t>
        </is>
      </c>
      <c r="I8" s="12" t="inlineStr">
        <is>
          <t>2, 4</t>
        </is>
      </c>
    </row>
    <row r="9">
      <c r="A9" s="12" t="n">
        <v>5</v>
      </c>
      <c r="B9" s="12" t="inlineStr">
        <is>
          <t>공공</t>
        </is>
      </c>
      <c r="C9" s="12" t="inlineStr">
        <is>
          <t>고용24 통합경력증명서</t>
        </is>
      </c>
      <c r="D9" s="12" t="inlineStr">
        <is>
          <t>고용정보원</t>
        </is>
      </c>
      <c r="E9" s="12" t="inlineStr">
        <is>
          <t>5060 재취업자 등</t>
        </is>
      </c>
      <c r="F9" s="12" t="inlineStr">
        <is>
          <t>흩어진 고용보험 가입 경력을 하나로 통합 발급</t>
        </is>
      </c>
      <c r="G9" s="12" t="inlineStr">
        <is>
          <t>운영 중</t>
        </is>
      </c>
      <c r="H9" s="12" t="inlineStr">
        <is>
          <t>고용보험 미가입 경력(자영업·가사·돌봄 등) 누락</t>
        </is>
      </c>
      <c r="I9" s="12" t="inlineStr">
        <is>
          <t>2</t>
        </is>
      </c>
    </row>
    <row r="10">
      <c r="A10" s="12" t="n">
        <v>6</v>
      </c>
      <c r="B10" s="12" t="inlineStr">
        <is>
          <t>공공</t>
        </is>
      </c>
      <c r="C10" s="12" t="inlineStr">
        <is>
          <t>국가 고용서비스 혁신방안 ('나만의 AI 고용센터')</t>
        </is>
      </c>
      <c r="D10" s="12" t="inlineStr">
        <is>
          <t>고용노동부</t>
        </is>
      </c>
      <c r="E10" s="12" t="inlineStr">
        <is>
          <t>구직자</t>
        </is>
      </c>
      <c r="F10" s="12" t="inlineStr">
        <is>
          <t>실업인정·지원금 심사 AI 자동화, AI가 구직자를 자기주도형/집중지원형으로 분류해 서비스 추천, 고용24를 디지털 고용센터로 개편</t>
        </is>
      </c>
      <c r="G10" s="12" t="inlineStr">
        <is>
          <t>2026.8.20 발표(추진 중)</t>
        </is>
      </c>
      <c r="H10" s="12" t="inlineStr">
        <is>
          <t>정부가 직접 추진하는 영역 → 제도 안내·추천형 아이디어와 겹칠 위험</t>
        </is>
      </c>
      <c r="I10" s="12" t="inlineStr">
        <is>
          <t>3</t>
        </is>
      </c>
    </row>
    <row r="11">
      <c r="A11" s="12" t="n">
        <v>7</v>
      </c>
      <c r="B11" s="12" t="inlineStr">
        <is>
          <t>공공</t>
        </is>
      </c>
      <c r="C11" s="12" t="inlineStr">
        <is>
          <t>고용노동부 고객상담센터 챗봇(1350)</t>
        </is>
      </c>
      <c r="D11" s="12" t="inlineStr">
        <is>
          <t>고용노동부</t>
        </is>
      </c>
      <c r="E11" s="12" t="inlineStr">
        <is>
          <t>국민</t>
        </is>
      </c>
      <c r="F11" s="12" t="inlineStr">
        <is>
          <t>실업급여·관할 고용센터 등 행정 문의 대화형 안내</t>
        </is>
      </c>
      <c r="G11" s="12" t="inlineStr">
        <is>
          <t>운영 중</t>
        </is>
      </c>
      <c r="H11" s="12" t="inlineStr">
        <is>
          <t>Q&amp;A 중심, 개인 상황별 신청 동행·서류 점검은 없음</t>
        </is>
      </c>
      <c r="I11" s="12" t="inlineStr">
        <is>
          <t>3, 5</t>
        </is>
      </c>
    </row>
    <row r="12">
      <c r="A12" s="12" t="n">
        <v>8</v>
      </c>
      <c r="B12" s="12" t="inlineStr">
        <is>
          <t>공공</t>
        </is>
      </c>
      <c r="C12" s="12" t="inlineStr">
        <is>
          <t>정부24 혜택알리미 / 보조금24</t>
        </is>
      </c>
      <c r="D12" s="12" t="inlineStr">
        <is>
          <t>행정안전부</t>
        </is>
      </c>
      <c r="E12" s="12" t="inlineStr">
        <is>
          <t>국민</t>
        </is>
      </c>
      <c r="F12" s="12" t="inlineStr">
        <is>
          <t>개인 자격 조건에 맞는 정부·공공기관 혜택 통합 조회·신청</t>
        </is>
      </c>
      <c r="G12" s="12" t="inlineStr">
        <is>
          <t>운영 중</t>
        </is>
      </c>
      <c r="H12" s="12" t="inlineStr">
        <is>
          <t>조회 중심, 고용 제도 신청 과정 지원은 약함</t>
        </is>
      </c>
      <c r="I12" s="12" t="inlineStr">
        <is>
          <t>3</t>
        </is>
      </c>
    </row>
    <row r="13">
      <c r="A13" s="12" t="n">
        <v>9</v>
      </c>
      <c r="B13" s="12" t="inlineStr">
        <is>
          <t>공공</t>
        </is>
      </c>
      <c r="C13" s="12" t="inlineStr">
        <is>
          <t>고용행정통계(EIS) / 고용노동데이터(ELDS)</t>
        </is>
      </c>
      <c r="D13" s="12" t="inlineStr">
        <is>
          <t>고용정보원</t>
        </is>
      </c>
      <c r="E13" s="12" t="inlineStr">
        <is>
          <t>전문가·일반</t>
        </is>
      </c>
      <c r="F13" s="12" t="inlineStr">
        <is>
          <t>구인·구직·고용보험 통계, OpenAPI 제공</t>
        </is>
      </c>
      <c r="G13" s="12" t="inlineStr">
        <is>
          <t>운영 중</t>
        </is>
      </c>
      <c r="H13" s="12" t="inlineStr">
        <is>
          <t>표·필터 중심, 일반인 해석 어려움</t>
        </is>
      </c>
      <c r="I13" s="12" t="inlineStr">
        <is>
          <t>4</t>
        </is>
      </c>
    </row>
    <row r="14">
      <c r="A14" s="12" t="n">
        <v>10</v>
      </c>
      <c r="B14" s="12" t="inlineStr">
        <is>
          <t>민간</t>
        </is>
      </c>
      <c r="C14" s="12" t="inlineStr">
        <is>
          <t>사람인 AI 서류합격 코칭 / 커리어 매칭 에이전트</t>
        </is>
      </c>
      <c r="D14" s="12" t="inlineStr">
        <is>
          <t>사람인</t>
        </is>
      </c>
      <c r="E14" s="12" t="inlineStr">
        <is>
          <t>구직자</t>
        </is>
      </c>
      <c r="F14" s="12" t="inlineStr">
        <is>
          <t>자소서 문항·초안 생성, 이력서를 공고와 대조해 보완 방향·합격 가능성 제시, AI 취업 비서</t>
        </is>
      </c>
      <c r="G14" s="12" t="inlineStr">
        <is>
          <t>2026.5 출시</t>
        </is>
      </c>
      <c r="H14" s="12" t="inlineStr">
        <is>
          <t>경력직·사무직 중심, 민간 공고 중심</t>
        </is>
      </c>
      <c r="I14" s="12" t="inlineStr">
        <is>
          <t>2, 6</t>
        </is>
      </c>
    </row>
    <row r="15">
      <c r="A15" s="12" t="n">
        <v>11</v>
      </c>
      <c r="B15" s="12" t="inlineStr">
        <is>
          <t>민간</t>
        </is>
      </c>
      <c r="C15" s="12" t="inlineStr">
        <is>
          <t>잡코리아 LOOP AI</t>
        </is>
      </c>
      <c r="D15" s="12" t="inlineStr">
        <is>
          <t>잡코리아</t>
        </is>
      </c>
      <c r="E15" s="12" t="inlineStr">
        <is>
          <t>구직자</t>
        </is>
      </c>
      <c r="F15" s="12" t="inlineStr">
        <is>
          <t>이력서·희망 조건 기반 공고 추천·포지션 제안</t>
        </is>
      </c>
      <c r="G15" s="12" t="inlineStr">
        <is>
          <t>운영 중</t>
        </is>
      </c>
      <c r="H15" s="12" t="inlineStr">
        <is>
          <t>추천 중심</t>
        </is>
      </c>
      <c r="I15" s="12" t="inlineStr">
        <is>
          <t>6</t>
        </is>
      </c>
    </row>
    <row r="16">
      <c r="A16" s="12" t="n">
        <v>12</v>
      </c>
      <c r="B16" s="12" t="inlineStr">
        <is>
          <t>민간</t>
        </is>
      </c>
      <c r="C16" s="12" t="inlineStr">
        <is>
          <t>잡브릿지 AI 직무 전환 리포트</t>
        </is>
      </c>
      <c r="D16" s="12" t="inlineStr">
        <is>
          <t>민간(소규모)</t>
        </is>
      </c>
      <c r="E16" s="12" t="inlineStr">
        <is>
          <t>전직 희망자</t>
        </is>
      </c>
      <c r="F16" s="12" t="inlineStr">
        <is>
          <t>고용노동 공공데이터 + AI로 직무 전환 경로 리포트</t>
        </is>
      </c>
      <c r="G16" s="12" t="inlineStr">
        <is>
          <t>운영 중</t>
        </is>
      </c>
      <c r="H16" s="12" t="inlineStr">
        <is>
          <t>소규모 민간, 고용24와 연계 안 됨, 비공식 경력 특화 아님</t>
        </is>
      </c>
      <c r="I16" s="12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4" customWidth="1" min="3" max="3"/>
    <col width="10" customWidth="1" min="4" max="4"/>
    <col width="18" customWidth="1" min="5" max="5"/>
    <col width="44" customWidth="1" min="6" max="6"/>
    <col width="34" customWidth="1" min="7" max="7"/>
    <col width="36" customWidth="1" min="8" max="8"/>
    <col width="34" customWidth="1" min="9" max="9"/>
    <col width="42" customWidth="1" min="10" max="10"/>
    <col width="34" customWidth="1" min="11" max="11"/>
    <col width="34" customWidth="1" min="12" max="12"/>
    <col width="34" customWidth="1" min="13" max="13"/>
    <col width="24" customWidth="1" min="14" max="14"/>
  </cols>
  <sheetData>
    <row r="1">
      <c r="A1" s="1" t="inlineStr">
        <is>
          <t>3. 아이디어 후보 상세 비교</t>
        </is>
      </c>
    </row>
    <row r="2">
      <c r="A2" s="2" t="inlineStr">
        <is>
          <t>MVP 범위 = 개인이 2주 안에 실제로 작동시킬 수 있는 핵심 기능 기준. 빨간 배경 = 기존 고용24 서비스와 중복되어 제외 권장</t>
        </is>
      </c>
    </row>
    <row r="4">
      <c r="A4" s="7" t="inlineStr">
        <is>
          <t>번호</t>
        </is>
      </c>
      <c r="B4" s="7" t="inlineStr">
        <is>
          <t>아이디어명</t>
        </is>
      </c>
      <c r="C4" s="7" t="inlineStr">
        <is>
          <t>한 줄 설명</t>
        </is>
      </c>
      <c r="D4" s="7" t="inlineStr">
        <is>
          <t>해결 문제(ID)</t>
        </is>
      </c>
      <c r="E4" s="7" t="inlineStr">
        <is>
          <t>주요 대상</t>
        </is>
      </c>
      <c r="F4" s="7" t="inlineStr">
        <is>
          <t>MVP 핵심 기능(2주 범위)</t>
        </is>
      </c>
      <c r="G4" s="7" t="inlineStr">
        <is>
          <t>AI 역할</t>
        </is>
      </c>
      <c r="H4" s="7" t="inlineStr">
        <is>
          <t>활용 데이터</t>
        </is>
      </c>
      <c r="I4" s="7" t="inlineStr">
        <is>
          <t>가장 가까운 기존 서비스</t>
        </is>
      </c>
      <c r="J4" s="7" t="inlineStr">
        <is>
          <t>차별점</t>
        </is>
      </c>
      <c r="K4" s="7" t="inlineStr">
        <is>
          <t>장점</t>
        </is>
      </c>
      <c r="L4" s="7" t="inlineStr">
        <is>
          <t>단점·리스크</t>
        </is>
      </c>
      <c r="M4" s="7" t="inlineStr">
        <is>
          <t>리스크 대응</t>
        </is>
      </c>
      <c r="N4" s="7" t="inlineStr">
        <is>
          <t>독창성·창의성 평가</t>
        </is>
      </c>
    </row>
    <row r="5">
      <c r="A5" s="12" t="n">
        <v>1</v>
      </c>
      <c r="B5" s="12" t="inlineStr">
        <is>
          <t>공고·계약 조건 비교 체커
("이 조건 맞아요?")</t>
        </is>
      </c>
      <c r="C5" s="12" t="inlineStr">
        <is>
          <t>구직자가 공고와 근로계약서를 올리면 AI가 조건 불일치와 법 기준 위반 가능성을 표시하고, 사업주에게 물어볼 질문과 신고 경로를 안내</t>
        </is>
      </c>
      <c r="D5" s="12" t="inlineStr">
        <is>
          <t>P4 (P2)</t>
        </is>
      </c>
      <c r="E5" s="12" t="inlineStr">
        <is>
          <t>청년·아르바이트·고령·첫 취업 구직자</t>
        </is>
      </c>
      <c r="F5" s="12" t="inlineStr">
        <is>
          <t>① 공고 텍스트/고용24 공고번호 입력 → 임금·시간·수습·휴일 조건 구조화
② 계약서 사진 업로드 → 조건 추출
③ 공고 vs 계약서 vs 법 기준(최저임금·주휴·수습 감액) 비교표
④ 불일치 항목별 확인 질문 + 1350·거짓 구인광고 신고 안내</t>
        </is>
      </c>
      <c r="G5" s="12" t="inlineStr">
        <is>
          <t>공고·계약서 같은 비정형 문서 이해(이미지 판독·정보 추출), 조건 비교 해설, 쉬운말 설명. 최저임금 계산 등 법 기준은 규칙 기반으로 처리해 환각 방지</t>
        </is>
      </c>
      <c r="H5" s="12" t="inlineStr">
        <is>
          <t>고용24 채용정보 OpenAPI(공고 상세), EIS 직종·지역별 구인 임금(평균 비교), 최저임금 고시(공공데이터), 법제처 법령 OpenAPI(근로기준법·직업안정법)</t>
        </is>
      </c>
      <c r="I5" s="12" t="inlineStr">
        <is>
          <t>고용24 AI 구인공고 검증(행정직원용), 노동부 AI 구인광고 점검 모델(개발 계획), 거짓 구인광고 체크리스트(정책브리핑)</t>
        </is>
      </c>
      <c r="J5" s="12" t="inlineStr">
        <is>
          <t>기존: 행정직원이 공고 등록 시점에 점검
본 아이디어: 구직자가 계약 시점에 직접 점검 + 실제 계약서와 교차 비교 + 민간 포털 공고도 입력 가능</t>
        </is>
      </c>
      <c r="K5" s="12" t="inlineStr">
        <is>
          <t>피해 예방이라 체감도 높음 / 정책 흐름과 일치(신고 증가, 직업안정법 12.10 시행) / 개인 2주 구현 가능 / 시연 임팩트 큼</t>
        </is>
      </c>
      <c r="L5" s="12" t="inlineStr">
        <is>
          <t>'위반 판정'으로 오해될 위험 / 계약서 개인정보 / 행정용 검증과 겹쳐 보일 수 있음</t>
        </is>
      </c>
      <c r="M5" s="12" t="inlineStr">
        <is>
          <t>'위반'이 아닌 '확인 필요' 표현 + 근거 조문 표시 / 이미지 비저장·마스킹 / 행정용 검증의 '구직자 측 보완재'로 포지셔닝(신고 데이터 환류)</t>
        </is>
      </c>
      <c r="N5" s="12" t="inlineStr">
        <is>
          <t>높음: 공공 영역에서 구직자가 공고와 계약서를 교차 검증하는 서비스는 조사 범위에서 확인되지 않음</t>
        </is>
      </c>
    </row>
    <row r="6">
      <c r="A6" s="12" t="n">
        <v>2</v>
      </c>
      <c r="B6" s="12" t="inlineStr">
        <is>
          <t>경력 번역기</t>
        </is>
      </c>
      <c r="C6" s="12" t="inlineStr">
        <is>
          <t>자영업·가사·돌봄·군 복무·봉사 등 비정형 경력을 이야기하듯 말하면 AI가 표준 직무 역량으로 번역해 전직 가능 직종과 이력서 문장을 제안</t>
        </is>
      </c>
      <c r="D6" s="12" t="inlineStr">
        <is>
          <t>P5</t>
        </is>
      </c>
      <c r="E6" s="12" t="inlineStr">
        <is>
          <t>중장년, 경력단절여성, 폐업 자영업자, 전역 군인</t>
        </is>
      </c>
      <c r="F6" s="12" t="inlineStr">
        <is>
          <t>① 대화형 경력 인터뷰(5~7문항)
② 역량 추출 → 고용24 직업정보 기반 직종 매핑(상위 3~5개)
③ 해당 직종 실제 공고 연결
④ 고용24 이력서 입력 형식에 맞춘 경력 문장 생성</t>
        </is>
      </c>
      <c r="G6" s="12" t="inlineStr">
        <is>
          <t>인터뷰 질문 생성, 비정형 서술에서 역량 키워드 추출, 직무 매핑 이유 설명, 문장 생성. 생성형 AI 없이는 불가능한 핵심 기능</t>
        </is>
      </c>
      <c r="H6" s="12" t="inlineStr">
        <is>
          <t>고용24 직업정보 OpenAPI(직업별 수행 직무·필요 역량), 채용정보 OpenAPI, EIS 직종별 구인 추이</t>
        </is>
      </c>
      <c r="I6" s="12" t="inlineStr">
        <is>
          <t>고용24 잡케어·취업확률 기반 구직컨설팅, 통합경력증명서, 사람인 AI 서류합격 코칭, 잡브릿지 AI 직무 전환 리포트</t>
        </is>
      </c>
      <c r="J6" s="12" t="inlineStr">
        <is>
          <t>기존: 이미 정리된 이력서·고용보험 경력을 입력받아 분석
본 아이디어: 그 이전 단계로, 공식 기록에 없는 경력을 역량 언어로 만들어 기존 고용24 AI의 입력 품질을 높임(경쟁이 아니라 앞단 연결)</t>
        </is>
      </c>
      <c r="K6" s="12" t="inlineStr">
        <is>
          <t>AI 필연성 최고 / 발표 스토리텔링 강함 / 구현 단순(LLM + 직업정보 API) / 기존 고용24 AI와의 연계 논리가 명확</t>
        </is>
      </c>
      <c r="L6" s="12" t="inlineStr">
        <is>
          <t>대상 계층이 좁아 보일 수 있음 / 역량 과장 위험 / 민간 유사 서비스 존재</t>
        </is>
      </c>
      <c r="M6" s="12" t="inlineStr">
        <is>
          <t>EIS로 중장년·경력단절 구직자 규모 제시 / 생성 문장마다 사용자 사실 확인 단계 / 공공 무료 + 고용24 연동으로 차별</t>
        </is>
      </c>
      <c r="N6" s="12" t="inlineStr">
        <is>
          <t>중~상: 개념은 민간에 일부 있으나 비공식 경력 특화 + 고용24 연계는 새로움</t>
        </is>
      </c>
    </row>
    <row r="7">
      <c r="A7" s="12" t="n">
        <v>3</v>
      </c>
      <c r="B7" s="12" t="inlineStr">
        <is>
          <t>제도 신청 동행 에이전트</t>
        </is>
      </c>
      <c r="C7" s="12" t="inlineStr">
        <is>
          <t>내 상황을 말하면 받을 수 있는 고용 제도를 찾고, 신청 완료까지 서류·단계·흔한 반려 사유를 체크</t>
        </is>
      </c>
      <c r="D7" s="12" t="inlineStr">
        <is>
          <t>P2, P1, P3</t>
        </is>
      </c>
      <c r="E7" s="12" t="inlineStr">
        <is>
          <t>실직자, 육아휴직 예정자, 구직 청년</t>
        </is>
      </c>
      <c r="F7" s="12" t="inlineStr">
        <is>
          <t>① 상황 대화 → 제도 후보(실업급여·국민취업지원제도·내일배움카드·육아휴직급여)
② 자격 조건 체크리스트
③ 서류 목록 + 고용24 메뉴 바로가기
④ 흔한 반려 사유 사전 점검</t>
        </is>
      </c>
      <c r="G7" s="12" t="inlineStr">
        <is>
          <t>대화형 상황 파악, 제도 문서 기반 답변(RAG), 체크리스트 생성</t>
        </is>
      </c>
      <c r="H7" s="12" t="inlineStr">
        <is>
          <t>고용24 정책·제도 안내, 공공데이터포털 공공서비스(보조금24) 정보, 법령 OpenAPI</t>
        </is>
      </c>
      <c r="I7" s="12" t="inlineStr">
        <is>
          <t>정부24 혜택알리미·보조금24, 1350 챗봇, 국가 고용서비스 혁신방안('나만의 AI 고용센터')</t>
        </is>
      </c>
      <c r="J7" s="12" t="inlineStr">
        <is>
          <t>조회·Q&amp;A가 아니라 '신청 완료까지 동행'과 반려 사유 사전 점검</t>
        </is>
      </c>
      <c r="K7" s="12" t="inlineStr">
        <is>
          <t>대상이 가장 넓음 / 누구나 이해하기 쉬움</t>
        </is>
      </c>
      <c r="L7" s="12" t="inlineStr">
        <is>
          <t>가장 흔한 유형(정책 챗봇)이라 다른 팀과 겹칠 확률 높음 / 정부가 직접 AI 고용센터로 개편 중 / 수급 자격 판단 오류 위험</t>
        </is>
      </c>
      <c r="M7" s="12" t="inlineStr">
        <is>
          <t>'반려 사유 점검' 같은 좁고 날카로운 기능 하나로 범위 축소</t>
        </is>
      </c>
      <c r="N7" s="12" t="inlineStr">
        <is>
          <t>낮음~중</t>
        </is>
      </c>
    </row>
    <row r="8">
      <c r="A8" s="12" t="n">
        <v>4</v>
      </c>
      <c r="B8" s="12" t="inlineStr">
        <is>
          <t>우리 동네 일자리 브리핑</t>
        </is>
      </c>
      <c r="C8" s="12" t="inlineStr">
        <is>
          <t>"천안 요양보호사 구인 늘었어?"처럼 물으면 AI가 EIS 통계를 조회해 차트와 쉬운 해설로 답하는 대화형 노동시장 정보</t>
        </is>
      </c>
      <c r="D8" s="12" t="inlineStr">
        <is>
          <t>P6</t>
        </is>
      </c>
      <c r="E8" s="12" t="inlineStr">
        <is>
          <t>구직자, 진로 고민 청년, 소상공인, 상담사</t>
        </is>
      </c>
      <c r="F8" s="12" t="inlineStr">
        <is>
          <t>① 자연어 질문 → 지역·직종·기간 파라미터 추출
② EIS/ELDS API 호출
③ 차트 + 3줄 해설
④ 관련 공고·훈련 연결</t>
        </is>
      </c>
      <c r="G8" s="12" t="inlineStr">
        <is>
          <t>자연어를 API 파라미터로 변환(도구 호출), 통계 해설 생성</t>
        </is>
      </c>
      <c r="H8" s="12" t="inlineStr">
        <is>
          <t>EIS OpenAPI(구인·구직·고용보험), ELDS, 채용정보 OpenAPI</t>
        </is>
      </c>
      <c r="I8" s="12" t="inlineStr">
        <is>
          <t>EIS 웹사이트(표·필터), 잡케어 취업시장 정보</t>
        </is>
      </c>
      <c r="J8" s="12" t="inlineStr">
        <is>
          <t>전문가용 통계를 대화형·쉬운말로 개인에게 번역</t>
        </is>
      </c>
      <c r="K8" s="12" t="inlineStr">
        <is>
          <t>지정 데이터(EIS·ELDS)를 직접 써서 데이터 활용 점수 최상</t>
        </is>
      </c>
      <c r="L8" s="12" t="inlineStr">
        <is>
          <t>'통계 조회'는 체감도가 약해 보임 / API 구조 파악·정합성 작업 필요 / 수치 환각 위험</t>
        </is>
      </c>
      <c r="M8" s="12" t="inlineStr">
        <is>
          <t>수치는 API 원값만 표시하고 LLM은 해설만 담당 / '이 직종에 도전할까?' 같은 개인 의사결정으로 연결</t>
        </is>
      </c>
      <c r="N8" s="12" t="inlineStr">
        <is>
          <t>중</t>
        </is>
      </c>
    </row>
    <row r="9">
      <c r="A9" s="12" t="n">
        <v>5</v>
      </c>
      <c r="B9" s="12" t="inlineStr">
        <is>
          <t>음성·쉬운말 고용24</t>
        </is>
      </c>
      <c r="C9" s="12" t="inlineStr">
        <is>
          <t>디지털 약자가 말로 묻고 답하며 일자리 검색·절차를 안내받는 음성 에이전트</t>
        </is>
      </c>
      <c r="D9" s="12" t="inlineStr">
        <is>
          <t>P7, P1</t>
        </is>
      </c>
      <c r="E9" s="12" t="inlineStr">
        <is>
          <t>고령자, 저문해자, 시각장애인, 외국인</t>
        </is>
      </c>
      <c r="F9" s="12" t="inlineStr">
        <is>
          <t>① 음성 입력(브라우저 음성인식)
② 의도 파악 → 공고 검색
③ 결과를 쉬운말로 요약해 음성 출력</t>
        </is>
      </c>
      <c r="G9" s="12" t="inlineStr">
        <is>
          <t>음성 인식·합성, 쉬운말 변환, 의도 파악</t>
        </is>
      </c>
      <c r="H9" s="12" t="inlineStr">
        <is>
          <t>채용정보 OpenAPI</t>
        </is>
      </c>
      <c r="I9" s="12" t="inlineStr">
        <is>
          <t>1350 전화상담·챗봇, 고용센터 방문</t>
        </is>
      </c>
      <c r="J9" s="12" t="inlineStr">
        <is>
          <t>화면 메뉴 대신 음성 대화로 이용</t>
        </is>
      </c>
      <c r="K9" s="12" t="inlineStr">
        <is>
          <t>포용성·공공성 명분 강함</t>
        </is>
      </c>
      <c r="L9" s="12" t="inlineStr">
        <is>
          <t>음성 인식 정확도·시연 불안정 / 데이터 활용 약함 / 개인이 2주에 품질 확보 어려움</t>
        </is>
      </c>
      <c r="M9" s="12" t="inlineStr">
        <is>
          <t>쉬운말 텍스트 모드를 기본, 음성은 부가 기능으로</t>
        </is>
      </c>
      <c r="N9" s="12" t="inlineStr">
        <is>
          <t>중</t>
        </is>
      </c>
    </row>
    <row r="10">
      <c r="A10" s="13" t="n">
        <v>6</v>
      </c>
      <c r="B10" s="13" t="inlineStr">
        <is>
          <t>역량 갭 → 훈련 연결</t>
        </is>
      </c>
      <c r="C10" s="13" t="inlineStr">
        <is>
          <t>이력서와 희망 공고를 비교해 부족 역량을 찾고 내일배움카드 훈련과정·자격증 추천</t>
        </is>
      </c>
      <c r="D10" s="13" t="inlineStr">
        <is>
          <t>P8</t>
        </is>
      </c>
      <c r="E10" s="13" t="inlineStr">
        <is>
          <t>구직자</t>
        </is>
      </c>
      <c r="F10" s="13" t="inlineStr">
        <is>
          <t>이력서·공고 비교 → 부족 역량 → 훈련과정 추천</t>
        </is>
      </c>
      <c r="G10" s="13" t="inlineStr">
        <is>
          <t>역량 비교·추천 설명</t>
        </is>
      </c>
      <c r="H10" s="13" t="inlineStr">
        <is>
          <t>채용정보·직업정보·훈련과정 API</t>
        </is>
      </c>
      <c r="I10" s="13" t="inlineStr">
        <is>
          <t>고용24 취업확률 기반 구직컨설팅(2026.6 출시), 사람인 이력서 코칭</t>
        </is>
      </c>
      <c r="J10" s="13" t="inlineStr">
        <is>
          <t>거의 없음</t>
        </is>
      </c>
      <c r="K10" s="13" t="inlineStr">
        <is>
          <t>데이터 결합은 우수</t>
        </is>
      </c>
      <c r="L10" s="13" t="inlineStr">
        <is>
          <t>2026.6 출시된 고용24 서비스와 사실상 같아 심사에서 '이미 있음' 판정 위험 큼</t>
        </is>
      </c>
      <c r="M10" s="13" t="inlineStr">
        <is>
          <t>제외 권장(또는 2번의 후속 단계로 흡수)</t>
        </is>
      </c>
      <c r="N10" s="13" t="inlineStr">
        <is>
          <t>낮음</t>
        </is>
      </c>
    </row>
    <row r="11">
      <c r="A11" s="13" t="n">
        <v>7</v>
      </c>
      <c r="B11" s="13" t="inlineStr">
        <is>
          <t>소상공인 구인공고 도우미</t>
        </is>
      </c>
      <c r="C11" s="13" t="inlineStr">
        <is>
          <t>몇 줄 입력하면 공고 작성 + 적정 임금 + 고용장려금 안내</t>
        </is>
      </c>
      <c r="D11" s="13" t="inlineStr">
        <is>
          <t>P9</t>
        </is>
      </c>
      <c r="E11" s="13" t="inlineStr">
        <is>
          <t>소상공인</t>
        </is>
      </c>
      <c r="F11" s="13" t="inlineStr">
        <is>
          <t>공고 자동 작성, 적정 임금 제시</t>
        </is>
      </c>
      <c r="G11" s="13" t="inlineStr">
        <is>
          <t>공고 문장 생성, 임금 제안</t>
        </is>
      </c>
      <c r="H11" s="13" t="inlineStr">
        <is>
          <t>채용정보 API, EIS 임금 통계</t>
        </is>
      </c>
      <c r="I11" s="13" t="inlineStr">
        <is>
          <t>고용24 채용확률 기반 구인컨설팅·AI 구인공고 작성·AI 인재추천(2026.6 출시)</t>
        </is>
      </c>
      <c r="J11" s="13" t="inlineStr">
        <is>
          <t>거의 없음</t>
        </is>
      </c>
      <c r="K11" s="13" t="inlineStr">
        <is>
          <t>구현 쉬움</t>
        </is>
      </c>
      <c r="L11" s="13" t="inlineStr">
        <is>
          <t>2026.6 출시된 고용24 서비스와 중복</t>
        </is>
      </c>
      <c r="M11" s="13" t="inlineStr">
        <is>
          <t>제외 권장</t>
        </is>
      </c>
      <c r="N11" s="13" t="inlineStr">
        <is>
          <t>낮음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13" customWidth="1" min="8" max="8"/>
    <col width="10" customWidth="1" min="9" max="9"/>
    <col width="7" customWidth="1" min="10" max="10"/>
    <col width="22" customWidth="1" min="11" max="11"/>
    <col width="90" customWidth="1" min="12" max="12"/>
  </cols>
  <sheetData>
    <row r="1">
      <c r="A1" s="1" t="inlineStr">
        <is>
          <t>4. 심사 기준별 평가 점수 (1~5점)</t>
        </is>
      </c>
    </row>
    <row r="2">
      <c r="A2" s="2" t="inlineStr">
        <is>
          <t>노란 칸(가중치)과 파란 글씨(점수)는 수정 가능. 공식 심사 기준이 공개되지 않아 포스터 문구 기반으로 추정한 가중치임 → 홈페이지 확인 후 수정</t>
        </is>
      </c>
    </row>
    <row r="4">
      <c r="A4" s="7" t="inlineStr">
        <is>
          <t>번호</t>
        </is>
      </c>
      <c r="B4" s="7" t="inlineStr">
        <is>
          <t>아이디어</t>
        </is>
      </c>
      <c r="C4" s="7" t="inlineStr">
        <is>
          <t>국민 체감도</t>
        </is>
      </c>
      <c r="D4" s="7" t="inlineStr">
        <is>
          <t>AI 필연성</t>
        </is>
      </c>
      <c r="E4" s="7" t="inlineStr">
        <is>
          <t>데이터 활용</t>
        </is>
      </c>
      <c r="F4" s="7" t="inlineStr">
        <is>
          <t>독창성·창의성</t>
        </is>
      </c>
      <c r="G4" s="7" t="inlineStr">
        <is>
          <t>구현 가능성
(개인 2주)</t>
        </is>
      </c>
      <c r="H4" s="7" t="inlineStr">
        <is>
          <t>고용24 연계·확산성</t>
        </is>
      </c>
      <c r="I4" s="7" t="inlineStr">
        <is>
          <t>가중 총점</t>
        </is>
      </c>
      <c r="J4" s="7" t="inlineStr">
        <is>
          <t>순위</t>
        </is>
      </c>
      <c r="K4" s="7" t="inlineStr">
        <is>
          <t>판정</t>
        </is>
      </c>
      <c r="L4" s="7" t="inlineStr">
        <is>
          <t>점수 근거</t>
        </is>
      </c>
    </row>
    <row r="5">
      <c r="A5" s="14" t="n"/>
      <c r="B5" s="14" t="inlineStr">
        <is>
          <t>가중치(합계 100%)</t>
        </is>
      </c>
      <c r="C5" s="15" t="n">
        <v>0.25</v>
      </c>
      <c r="D5" s="15" t="n">
        <v>0.15</v>
      </c>
      <c r="E5" s="15" t="n">
        <v>0.15</v>
      </c>
      <c r="F5" s="15" t="n">
        <v>0.2</v>
      </c>
      <c r="G5" s="15" t="n">
        <v>0.15</v>
      </c>
      <c r="H5" s="15" t="n">
        <v>0.1</v>
      </c>
      <c r="I5" s="16">
        <f>SUM(C5:H5)</f>
        <v/>
      </c>
      <c r="J5" s="14">
        <f>IF(ROUND(I5,4)=1,"합계 OK","합계≠100%")</f>
        <v/>
      </c>
      <c r="K5" s="14" t="n"/>
      <c r="L5" s="14" t="n"/>
    </row>
    <row r="6">
      <c r="A6" s="17" t="n">
        <v>1</v>
      </c>
      <c r="B6" s="18" t="inlineStr">
        <is>
          <t>공고·계약 조건 비교 체커</t>
        </is>
      </c>
      <c r="C6" s="19" t="n">
        <v>5</v>
      </c>
      <c r="D6" s="19" t="n">
        <v>5</v>
      </c>
      <c r="E6" s="19" t="n">
        <v>4</v>
      </c>
      <c r="F6" s="19" t="n">
        <v>4</v>
      </c>
      <c r="G6" s="19" t="n">
        <v>4</v>
      </c>
      <c r="H6" s="19" t="n">
        <v>5</v>
      </c>
      <c r="I6" s="20">
        <f>SUMPRODUCT(C6:H6,$C$5:$H$5)</f>
        <v/>
      </c>
      <c r="J6" s="18">
        <f>RANK(I6,$I$6:$I$12,0)+COUNTIF($I$6:I6,I6)-1</f>
        <v/>
      </c>
      <c r="K6" s="18">
        <f>IF(F6&lt;=1,"제외 권장(기존 서비스 중복)",IF(J6&lt;=2,"추천",IF(J6&lt;=4,"보류","비추천")))</f>
        <v/>
      </c>
      <c r="L6" s="12" t="inlineStr">
        <is>
          <t>체감: 금전 피해 예방, 청년·알바 등 대상 넓음 / AI: 문서 이미지 판독·비교 해설은 생성형 AI가 핵심 / 데이터: 채용정보 API + EIS 임금 + 최저임금 + 법령 / 독창성: 행정용 검증은 있으나 구직자·계약 시점 교차 비교는 없음 / 구현: 화면 2~3개, 법 기준은 규칙 기반 / 연계: 거짓 구인광고 대응·직업안정법 개정과 정책 방향 일치</t>
        </is>
      </c>
    </row>
    <row r="7">
      <c r="A7" s="17" t="n">
        <v>2</v>
      </c>
      <c r="B7" s="18" t="inlineStr">
        <is>
          <t>경력 번역기</t>
        </is>
      </c>
      <c r="C7" s="19" t="n">
        <v>4</v>
      </c>
      <c r="D7" s="19" t="n">
        <v>5</v>
      </c>
      <c r="E7" s="19" t="n">
        <v>3</v>
      </c>
      <c r="F7" s="19" t="n">
        <v>4</v>
      </c>
      <c r="G7" s="19" t="n">
        <v>5</v>
      </c>
      <c r="H7" s="19" t="n">
        <v>4</v>
      </c>
      <c r="I7" s="20">
        <f>SUMPRODUCT(C7:H7,$C$5:$H$5)</f>
        <v/>
      </c>
      <c r="J7" s="18">
        <f>RANK(I7,$I$6:$I$12,0)+COUNTIF($I$6:I7,I7)-1</f>
        <v/>
      </c>
      <c r="K7" s="18">
        <f>IF(F7&lt;=1,"제외 권장(기존 서비스 중복)",IF(J7&lt;=2,"추천",IF(J7&lt;=4,"보류","비추천")))</f>
        <v/>
      </c>
      <c r="L7" s="12" t="inlineStr">
        <is>
          <t>체감: 중장년·경력단절에 강하나 대상 한정 / AI: 비정형 서술 → 역량 번역은 생성형 AI 고유 영역 / 데이터: 직업정보·채용정보 API 중심 / 독창성: 민간 유사 서비스 있으나 비공식 경력 특화는 새로움 / 구현: LLM + API 하나로 가능 / 연계: 기존 고용24 AI의 앞단 입력으로 연결</t>
        </is>
      </c>
    </row>
    <row r="8">
      <c r="A8" s="17" t="n">
        <v>3</v>
      </c>
      <c r="B8" s="18" t="inlineStr">
        <is>
          <t>제도 신청 동행 에이전트</t>
        </is>
      </c>
      <c r="C8" s="19" t="n">
        <v>5</v>
      </c>
      <c r="D8" s="19" t="n">
        <v>3</v>
      </c>
      <c r="E8" s="19" t="n">
        <v>3</v>
      </c>
      <c r="F8" s="19" t="n">
        <v>2</v>
      </c>
      <c r="G8" s="19" t="n">
        <v>4</v>
      </c>
      <c r="H8" s="19" t="n">
        <v>4</v>
      </c>
      <c r="I8" s="20">
        <f>SUMPRODUCT(C8:H8,$C$5:$H$5)</f>
        <v/>
      </c>
      <c r="J8" s="18">
        <f>RANK(I8,$I$6:$I$12,0)+COUNTIF($I$6:I8,I8)-1</f>
        <v/>
      </c>
      <c r="K8" s="18">
        <f>IF(F8&lt;=1,"제외 권장(기존 서비스 중복)",IF(J8&lt;=2,"추천",IF(J8&lt;=4,"보류","비추천")))</f>
        <v/>
      </c>
      <c r="L8" s="12" t="inlineStr">
        <is>
          <t>체감: 대상 가장 넓음 / AI: 일반 RAG 챗봇 수준 / 데이터: 제도 문서 중심, 지정 데이터 활용 약함 / 독창성: 혜택알리미·1350 챗봇·AI 고용센터 개편과 겹침 / 구현: 무난 / 연계: 고용24 메뉴 연결은 쉬움</t>
        </is>
      </c>
    </row>
    <row r="9">
      <c r="A9" s="17" t="n">
        <v>4</v>
      </c>
      <c r="B9" s="18" t="inlineStr">
        <is>
          <t>우리 동네 일자리 브리핑</t>
        </is>
      </c>
      <c r="C9" s="19" t="n">
        <v>3</v>
      </c>
      <c r="D9" s="19" t="n">
        <v>4</v>
      </c>
      <c r="E9" s="19" t="n">
        <v>5</v>
      </c>
      <c r="F9" s="19" t="n">
        <v>3</v>
      </c>
      <c r="G9" s="19" t="n">
        <v>3</v>
      </c>
      <c r="H9" s="19" t="n">
        <v>3</v>
      </c>
      <c r="I9" s="20">
        <f>SUMPRODUCT(C9:H9,$C$5:$H$5)</f>
        <v/>
      </c>
      <c r="J9" s="18">
        <f>RANK(I9,$I$6:$I$12,0)+COUNTIF($I$6:I9,I9)-1</f>
        <v/>
      </c>
      <c r="K9" s="18">
        <f>IF(F9&lt;=1,"제외 권장(기존 서비스 중복)",IF(J9&lt;=2,"추천",IF(J9&lt;=4,"보류","비추천")))</f>
        <v/>
      </c>
      <c r="L9" s="12" t="inlineStr">
        <is>
          <t>체감: 정보 제공형이라 체감 약함 / AI: 자연어 → API 도구 호출 / 데이터: EIS·ELDS 직접 활용으로 최상 / 독창성: 중간 / 구현: API 구조 파악 부담 / 연계: 보조 기능 수준</t>
        </is>
      </c>
    </row>
    <row r="10">
      <c r="A10" s="17" t="n">
        <v>5</v>
      </c>
      <c r="B10" s="18" t="inlineStr">
        <is>
          <t>음성·쉬운말 고용24</t>
        </is>
      </c>
      <c r="C10" s="19" t="n">
        <v>4</v>
      </c>
      <c r="D10" s="19" t="n">
        <v>4</v>
      </c>
      <c r="E10" s="19" t="n">
        <v>2</v>
      </c>
      <c r="F10" s="19" t="n">
        <v>3</v>
      </c>
      <c r="G10" s="19" t="n">
        <v>2</v>
      </c>
      <c r="H10" s="19" t="n">
        <v>3</v>
      </c>
      <c r="I10" s="20">
        <f>SUMPRODUCT(C10:H10,$C$5:$H$5)</f>
        <v/>
      </c>
      <c r="J10" s="18">
        <f>RANK(I10,$I$6:$I$12,0)+COUNTIF($I$6:I10,I10)-1</f>
        <v/>
      </c>
      <c r="K10" s="18">
        <f>IF(F10&lt;=1,"제외 권장(기존 서비스 중복)",IF(J10&lt;=2,"추천",IF(J10&lt;=4,"보류","비추천")))</f>
        <v/>
      </c>
      <c r="L10" s="12" t="inlineStr">
        <is>
          <t>체감: 디지털 약자에게 큼 / AI: 음성·쉬운말 변환 / 데이터: 채용정보 API 하나 / 독창성: 중간 / 구현: 음성 품질·시연 안정성 위험 / 연계: 보조 기능</t>
        </is>
      </c>
    </row>
    <row r="11">
      <c r="A11" s="17" t="n">
        <v>6</v>
      </c>
      <c r="B11" s="18" t="inlineStr">
        <is>
          <t>역량 갭 → 훈련 연결</t>
        </is>
      </c>
      <c r="C11" s="19" t="n">
        <v>4</v>
      </c>
      <c r="D11" s="19" t="n">
        <v>3</v>
      </c>
      <c r="E11" s="19" t="n">
        <v>5</v>
      </c>
      <c r="F11" s="19" t="n">
        <v>1</v>
      </c>
      <c r="G11" s="19" t="n">
        <v>3</v>
      </c>
      <c r="H11" s="19" t="n">
        <v>3</v>
      </c>
      <c r="I11" s="20">
        <f>SUMPRODUCT(C11:H11,$C$5:$H$5)</f>
        <v/>
      </c>
      <c r="J11" s="18">
        <f>RANK(I11,$I$6:$I$12,0)+COUNTIF($I$6:I11,I11)-1</f>
        <v/>
      </c>
      <c r="K11" s="18">
        <f>IF(F11&lt;=1,"제외 권장(기존 서비스 중복)",IF(J11&lt;=2,"추천",IF(J11&lt;=4,"보류","비추천")))</f>
        <v/>
      </c>
      <c r="L11" s="12" t="inlineStr">
        <is>
          <t>독창성: 2026.6 출시 '취업확률 기반 구직컨설팅'과 사실상 동일 → 제외 권장</t>
        </is>
      </c>
    </row>
    <row r="12">
      <c r="A12" s="17" t="n">
        <v>7</v>
      </c>
      <c r="B12" s="18" t="inlineStr">
        <is>
          <t>소상공인 구인공고 도우미</t>
        </is>
      </c>
      <c r="C12" s="19" t="n">
        <v>3</v>
      </c>
      <c r="D12" s="19" t="n">
        <v>4</v>
      </c>
      <c r="E12" s="19" t="n">
        <v>3</v>
      </c>
      <c r="F12" s="19" t="n">
        <v>1</v>
      </c>
      <c r="G12" s="19" t="n">
        <v>4</v>
      </c>
      <c r="H12" s="19" t="n">
        <v>2</v>
      </c>
      <c r="I12" s="20">
        <f>SUMPRODUCT(C12:H12,$C$5:$H$5)</f>
        <v/>
      </c>
      <c r="J12" s="18">
        <f>RANK(I12,$I$6:$I$12,0)+COUNTIF($I$6:I12,I12)-1</f>
        <v/>
      </c>
      <c r="K12" s="18">
        <f>IF(F12&lt;=1,"제외 권장(기존 서비스 중복)",IF(J12&lt;=2,"추천",IF(J12&lt;=4,"보류","비추천")))</f>
        <v/>
      </c>
      <c r="L12" s="12" t="inlineStr">
        <is>
          <t>독창성: 2026.6 출시 '채용확률 기반 구인컨설팅·AI 공고작성'과 중복 → 제외 권장</t>
        </is>
      </c>
    </row>
    <row r="14">
      <c r="B14" s="21" t="inlineStr">
        <is>
          <t>점수 기준(1~5): 5 매우 높음 · 4 높음 · 3 보통 · 2 낮음 · 1 매우 낮음</t>
        </is>
      </c>
    </row>
    <row r="15">
      <c r="B15" s="22" t="inlineStr">
        <is>
          <t>국민 체감도: 문제를 겪는 사람이 얼마나 많고, 해결됐을 때 삶에 얼마나 직접적인가</t>
        </is>
      </c>
    </row>
    <row r="16">
      <c r="B16" s="22" t="inlineStr">
        <is>
          <t>AI 필연성: 생성형 AI 없이는 구현이 어렵거나 품질이 크게 떨어지는가</t>
        </is>
      </c>
    </row>
    <row r="17">
      <c r="B17" s="22" t="inlineStr">
        <is>
          <t>데이터 활용: 고용24 OpenAPI·EIS·ELDS·공공데이터포털을 실제로, 의미 있게 쓰는가</t>
        </is>
      </c>
    </row>
    <row r="18">
      <c r="B18" s="22" t="inlineStr">
        <is>
          <t>독창성·창의성: 기존 공공·민간 서비스(2_기존서비스 시트)와 겹치지 않고 새로운 관점인가</t>
        </is>
      </c>
    </row>
    <row r="19">
      <c r="B19" s="22" t="inlineStr">
        <is>
          <t>구현 가능성: 개인이 2주 안에 핵심 기능을 실제 작동 수준으로 만들 수 있는가(2차 '기능심사' 대비)</t>
        </is>
      </c>
    </row>
    <row r="20">
      <c r="B20" s="22" t="inlineStr">
        <is>
          <t>고용24 연계·확산성: 고용24에 그대로 탑재하거나 정책 방향과 맞물려 확산될 수 있는가</t>
        </is>
      </c>
    </row>
    <row r="21">
      <c r="B21" s="22" t="inlineStr">
        <is>
          <t>판정 규칙: 독창성 1점 = 제외 권장 / 나머지는 순위 1~2 추천, 3~4 보류, 5 이하 비추천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3" topLeftCell="A4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6" customWidth="1" min="1" max="1"/>
    <col width="60" customWidth="1" min="2" max="2"/>
    <col width="90" customWidth="1" min="3" max="3"/>
  </cols>
  <sheetData>
    <row r="1">
      <c r="A1" s="1" t="inlineStr">
        <is>
          <t>5. 출처 (조사일 2026-09-29)</t>
        </is>
      </c>
    </row>
    <row r="3">
      <c r="A3" s="7" t="inlineStr">
        <is>
          <t>분류</t>
        </is>
      </c>
      <c r="B3" s="7" t="inlineStr">
        <is>
          <t>자료</t>
        </is>
      </c>
      <c r="C3" s="7" t="inlineStr">
        <is>
          <t>URL</t>
        </is>
      </c>
    </row>
    <row r="4">
      <c r="A4" s="12" t="inlineStr">
        <is>
          <t>공모전</t>
        </is>
      </c>
      <c r="B4" s="12" t="inlineStr">
        <is>
          <t>공모전 포스터(첨부 PDF)</t>
        </is>
      </c>
      <c r="C4" s="12" t="inlineStr">
        <is>
          <t>사용자 제공 파일</t>
        </is>
      </c>
    </row>
    <row r="5">
      <c r="A5" s="12" t="inlineStr">
        <is>
          <t>공모전</t>
        </is>
      </c>
      <c r="B5" s="12" t="inlineStr">
        <is>
          <t>중부대 게시판 - 고용24 국민참여 AI 고용서비스 발굴 온라인 해커톤 모집</t>
        </is>
      </c>
      <c r="C5" s="12" t="inlineStr">
        <is>
          <t>https://joongbu.ac.kr/board.es?act=view&amp;bid=0025&amp;list_no=355784&amp;mid=a10504050000</t>
        </is>
      </c>
    </row>
    <row r="6">
      <c r="A6" s="12" t="inlineStr">
        <is>
          <t>고용24 AI 3종</t>
        </is>
      </c>
      <c r="B6" s="12" t="inlineStr">
        <is>
          <t>헤럴드경제 - 고용24 맞춤형 AI 고용서비스 3종 공개(2026.6.29)</t>
        </is>
      </c>
      <c r="C6" s="12" t="inlineStr">
        <is>
          <t>https://biz.heraldcorp.com/article/10791088</t>
        </is>
      </c>
    </row>
    <row r="7">
      <c r="A7" s="12" t="inlineStr">
        <is>
          <t>고용24 AI 3종</t>
        </is>
      </c>
      <c r="B7" s="12" t="inlineStr">
        <is>
          <t>아주경제 - 구직자에 취업확률, 기업에 채용 피드백 제공(2026.6.29)</t>
        </is>
      </c>
      <c r="C7" s="12" t="inlineStr">
        <is>
          <t>https://www.ajunews.com/view/20260629114457616</t>
        </is>
      </c>
    </row>
    <row r="8">
      <c r="A8" s="12" t="inlineStr">
        <is>
          <t>고용24 AI 3종</t>
        </is>
      </c>
      <c r="B8" s="12" t="inlineStr">
        <is>
          <t>메트로서울 - AI가 취업확률 진단하고 자격증 추천</t>
        </is>
      </c>
      <c r="C8" s="12" t="inlineStr">
        <is>
          <t>https://www.metroseoul.co.kr/article/20260629500105</t>
        </is>
      </c>
    </row>
    <row r="9">
      <c r="A9" s="12" t="inlineStr">
        <is>
          <t>고용24 AI 3종</t>
        </is>
      </c>
      <c r="B9" s="12" t="inlineStr">
        <is>
          <t>뉴스핌 - 2개월 내 취업할 확률은…고용24에서 확인</t>
        </is>
      </c>
      <c r="C9" s="12" t="inlineStr">
        <is>
          <t>https://www.newspim.com/news/view/20260629000233</t>
        </is>
      </c>
    </row>
    <row r="10">
      <c r="A10" s="12" t="inlineStr">
        <is>
          <t>AI 인재추천</t>
        </is>
      </c>
      <c r="B10" s="12" t="inlineStr">
        <is>
          <t>데일리안 - 고용24 AI 인재추천 고도화</t>
        </is>
      </c>
      <c r="C10" s="12" t="inlineStr">
        <is>
          <t>https://www.dailian.co.kr/news/view/1626894</t>
        </is>
      </c>
    </row>
    <row r="11">
      <c r="A11" s="12" t="inlineStr">
        <is>
          <t>고용24 불편</t>
        </is>
      </c>
      <c r="B11" s="12" t="inlineStr">
        <is>
          <t>네이트뉴스 - 정부 '고용24', 잦은 에러·불편함에 이용자 성토(2024.10.7)</t>
        </is>
      </c>
      <c r="C11" s="12" t="inlineStr">
        <is>
          <t>https://news.nate.com/view/20241007n03324</t>
        </is>
      </c>
    </row>
    <row r="12">
      <c r="A12" s="12" t="inlineStr">
        <is>
          <t>고용24 불편</t>
        </is>
      </c>
      <c r="B12" s="12" t="inlineStr">
        <is>
          <t>남도일보 - 고용24 잦은 오류에 이용자들 악평</t>
        </is>
      </c>
      <c r="C12" s="12" t="inlineStr">
        <is>
          <t>https://www.namdonews.com/news/articleView.html?idxno=792963</t>
        </is>
      </c>
    </row>
    <row r="13">
      <c r="A13" s="12" t="inlineStr">
        <is>
          <t>고용센터 개편</t>
        </is>
      </c>
      <c r="B13" s="12" t="inlineStr">
        <is>
          <t>경향신문 - AI에 행정 맡기고 상담사는 구직자 만난다(2026.8.20)</t>
        </is>
      </c>
      <c r="C13" s="12" t="inlineStr">
        <is>
          <t>https://www.khan.co.kr/article/202608201637011/</t>
        </is>
      </c>
    </row>
    <row r="14">
      <c r="A14" s="12" t="inlineStr">
        <is>
          <t>고용센터 개편</t>
        </is>
      </c>
      <c r="B14" s="12" t="inlineStr">
        <is>
          <t>아주경제 - AI에 서류 맡기고 상담시간 4배로↑(2026.8.20)</t>
        </is>
      </c>
      <c r="C14" s="12" t="inlineStr">
        <is>
          <t>https://www.ajunews.com/view/20260820145231965</t>
        </is>
      </c>
    </row>
    <row r="15">
      <c r="A15" s="12" t="inlineStr">
        <is>
          <t>거짓 구인광고</t>
        </is>
      </c>
      <c r="B15" s="12" t="inlineStr">
        <is>
          <t>신아일보 - 거짓 구인광고 신고 매년 증가…올 상반기만 323건</t>
        </is>
      </c>
      <c r="C15" s="12" t="inlineStr">
        <is>
          <t>https://www.shinailbo.co.kr/news/articleView.html?idxno=5063576</t>
        </is>
      </c>
    </row>
    <row r="16">
      <c r="A16" s="12" t="inlineStr">
        <is>
          <t>거짓 구인광고</t>
        </is>
      </c>
      <c r="B16" s="12" t="inlineStr">
        <is>
          <t>한국사회적경제신문 - 고용노동부, 거짓 구인광고 끝까지 책임지겠습니다</t>
        </is>
      </c>
      <c r="C16" s="12" t="inlineStr">
        <is>
          <t>https://www.ksen.co.kr/news/article.html?no=222405</t>
        </is>
      </c>
    </row>
    <row r="17">
      <c r="A17" s="12" t="inlineStr">
        <is>
          <t>거짓 구인광고</t>
        </is>
      </c>
      <c r="B17" s="12" t="inlineStr">
        <is>
          <t>정책브리핑 - '거짓' 구인광고, 체크리스트!</t>
        </is>
      </c>
      <c r="C17" s="12" t="inlineStr">
        <is>
          <t>https://www.korea.kr/news/policyNewsView.do?newsId=148957053</t>
        </is>
      </c>
    </row>
    <row r="18">
      <c r="A18" s="12" t="inlineStr">
        <is>
          <t>기존 서비스</t>
        </is>
      </c>
      <c r="B18" s="12" t="inlineStr">
        <is>
          <t>고용노동부 고객상담센터 챗봇</t>
        </is>
      </c>
      <c r="C18" s="12" t="inlineStr">
        <is>
          <t>https://1350.moel.go.kr/home/hp/data/chatbot.do</t>
        </is>
      </c>
    </row>
    <row r="19">
      <c r="A19" s="12" t="inlineStr">
        <is>
          <t>기존 서비스</t>
        </is>
      </c>
      <c r="B19" s="12" t="inlineStr">
        <is>
          <t>고용24 잡케어</t>
        </is>
      </c>
      <c r="C19" s="12" t="inlineStr">
        <is>
          <t>https://m.work24.go.kr/wk/jc/a/c/1000/jobCareIntroExp.do</t>
        </is>
      </c>
    </row>
    <row r="20">
      <c r="A20" s="12" t="inlineStr">
        <is>
          <t>기존 서비스</t>
        </is>
      </c>
      <c r="B20" s="12" t="inlineStr">
        <is>
          <t>글로컬경제 - 고용24 통합경력증명서 활용</t>
        </is>
      </c>
      <c r="C20" s="12" t="inlineStr">
        <is>
          <t>https://www.cwoneconomy.com/news/articleView.html?idxno=20249</t>
        </is>
      </c>
    </row>
    <row r="21">
      <c r="A21" s="12" t="inlineStr">
        <is>
          <t>기존 서비스</t>
        </is>
      </c>
      <c r="B21" s="12" t="inlineStr">
        <is>
          <t>고용24 중장년 전직지원 서비스</t>
        </is>
      </c>
      <c r="C21" s="12" t="inlineStr">
        <is>
          <t>https://www.work24.go.kr/wk/u/b/1000/seniorChgJobSptSvc.do</t>
        </is>
      </c>
    </row>
    <row r="22">
      <c r="A22" s="12" t="inlineStr">
        <is>
          <t>기존 서비스</t>
        </is>
      </c>
      <c r="B22" s="12" t="inlineStr">
        <is>
          <t>잡브릿지 AI 직무 전환 리포트</t>
        </is>
      </c>
      <c r="C22" s="12" t="inlineStr">
        <is>
          <t>https://www.jobbridge.store/</t>
        </is>
      </c>
    </row>
    <row r="23">
      <c r="A23" s="12" t="inlineStr">
        <is>
          <t>기존 서비스</t>
        </is>
      </c>
      <c r="B23" s="12" t="inlineStr">
        <is>
          <t>ZDNet - 사람인 AI 서류합격 코칭 출시(2026.5.21)</t>
        </is>
      </c>
      <c r="C23" s="12" t="inlineStr">
        <is>
          <t>https://zdnet.co.kr/view/?no=20260521084922</t>
        </is>
      </c>
    </row>
    <row r="24">
      <c r="A24" s="12" t="inlineStr">
        <is>
          <t>기존 서비스</t>
        </is>
      </c>
      <c r="B24" s="12" t="inlineStr">
        <is>
          <t>사람인 커리어 매칭 에이전트</t>
        </is>
      </c>
      <c r="C24" s="12" t="inlineStr">
        <is>
          <t>https://www.saramin.co.kr/zf_user/ai-agent/career</t>
        </is>
      </c>
    </row>
    <row r="25">
      <c r="A25" s="12" t="inlineStr">
        <is>
          <t>기존 서비스</t>
        </is>
      </c>
      <c r="B25" s="12" t="inlineStr">
        <is>
          <t>정책브리핑 - 혜택알리미, 정부24에서 시작하세요</t>
        </is>
      </c>
      <c r="C25" s="12" t="inlineStr">
        <is>
          <t>https://www.korea.kr/news/policyNewsView.do?newsId=148958857</t>
        </is>
      </c>
    </row>
    <row r="26">
      <c r="A26" s="12" t="inlineStr">
        <is>
          <t>기존 서비스</t>
        </is>
      </c>
      <c r="B26" s="12" t="inlineStr">
        <is>
          <t>정부24 보조금24</t>
        </is>
      </c>
      <c r="C26" s="12" t="inlineStr">
        <is>
          <t>https://www.gov.kr/portal/rcvfvrSvc/main</t>
        </is>
      </c>
    </row>
    <row r="27">
      <c r="A27" s="12" t="inlineStr">
        <is>
          <t>데이터</t>
        </is>
      </c>
      <c r="B27" s="12" t="inlineStr">
        <is>
          <t>고용24 Open-API 소개</t>
        </is>
      </c>
      <c r="C27" s="12" t="inlineStr">
        <is>
          <t>https://m.work24.go.kr/cm/e/a/0110/selectOpenApiIntro.do</t>
        </is>
      </c>
    </row>
    <row r="28">
      <c r="A28" s="12" t="inlineStr">
        <is>
          <t>데이터</t>
        </is>
      </c>
      <c r="B28" s="12" t="inlineStr">
        <is>
          <t>고용행정통계(EIS) Open API 가이드</t>
        </is>
      </c>
      <c r="C28" s="12" t="inlineStr">
        <is>
          <t>https://eis.work24.go.kr/eisps/opiv/selectOpivList.do</t>
        </is>
      </c>
    </row>
    <row r="29">
      <c r="A29" s="12" t="inlineStr">
        <is>
          <t>데이터</t>
        </is>
      </c>
      <c r="B29" s="12" t="inlineStr">
        <is>
          <t>공공데이터포털 - 워크넷 채용정보 API</t>
        </is>
      </c>
      <c r="C29" s="12" t="inlineStr">
        <is>
          <t>https://www.data.go.kr/data/3038225/openapi.do</t>
        </is>
      </c>
    </row>
    <row r="30">
      <c r="A30" s="12" t="inlineStr">
        <is>
          <t>데이터</t>
        </is>
      </c>
      <c r="B30" s="12" t="inlineStr">
        <is>
          <t>공공데이터포털 - 워크넷 직업정보 API</t>
        </is>
      </c>
      <c r="C30" s="12" t="inlineStr">
        <is>
          <t>https://www.data.go.kr/data/3071087/openapi.do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2026-09-29T02:08:33Z</dcterms:created>
  <dcterms:modified xsi:type="dcterms:W3CDTF">2026-09-29T02:08:33Z</dcterms:modified>
</cp:coreProperties>
</file>